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len.rodrigues\Downloads\"/>
    </mc:Choice>
  </mc:AlternateContent>
  <xr:revisionPtr revIDLastSave="0" documentId="13_ncr:1_{80B43C01-5088-4F09-9E4C-91F9ED6EAC0E}" xr6:coauthVersionLast="47" xr6:coauthVersionMax="47" xr10:uidLastSave="{00000000-0000-0000-0000-000000000000}"/>
  <bookViews>
    <workbookView xWindow="1635" yWindow="1575" windowWidth="15375" windowHeight="7785" activeTab="1" xr2:uid="{00000000-000D-0000-FFFF-FFFF00000000}"/>
  </bookViews>
  <sheets>
    <sheet name="Clientes" sheetId="1" r:id="rId1"/>
    <sheet name="Pedido_Vendas" sheetId="2" r:id="rId2"/>
    <sheet name="Tecnicos_Parceiros" sheetId="3" r:id="rId3"/>
    <sheet name="Financeiro_Comer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<sst xmlns="http://schemas.openxmlformats.org/spreadsheetml/2006/main" count="42" uniqueCount="37">
  <si>
    <t>Nome do cliente</t>
  </si>
  <si>
    <t>Telefone</t>
  </si>
  <si>
    <t>WathsApp</t>
  </si>
  <si>
    <t>e-mail</t>
  </si>
  <si>
    <t>Endereço</t>
  </si>
  <si>
    <t>tipo de cliente ( Residecial/ comercial)</t>
  </si>
  <si>
    <t>Origem(Indicação/ Instagram/Google/Ourtos)</t>
  </si>
  <si>
    <t>Observações</t>
  </si>
  <si>
    <t>Data</t>
  </si>
  <si>
    <t>Cliente</t>
  </si>
  <si>
    <t>Produto/Serviço</t>
  </si>
  <si>
    <t>Fornecedor</t>
  </si>
  <si>
    <t>Valor de venda</t>
  </si>
  <si>
    <t>Custo do produto</t>
  </si>
  <si>
    <t>Custo instalação</t>
  </si>
  <si>
    <t>Lucro bruto</t>
  </si>
  <si>
    <t>Forma de pagamento</t>
  </si>
  <si>
    <t>Status(Orçamento/Pago/Instalado/Finalizado)</t>
  </si>
  <si>
    <t>Nome do técnico</t>
  </si>
  <si>
    <t>Tipo de Serviço(CFTV/Fechadura/Internet)</t>
  </si>
  <si>
    <t>Valor cobrado do cliente</t>
  </si>
  <si>
    <t>Valor pago ao técnico</t>
  </si>
  <si>
    <t>Comissão (% ou R$)</t>
  </si>
  <si>
    <t>Mês/Ano</t>
  </si>
  <si>
    <t>Total de vendas(R$)</t>
  </si>
  <si>
    <t>Total de custos(R$)</t>
  </si>
  <si>
    <t>Lucro líquido</t>
  </si>
  <si>
    <t>Meta do mês</t>
  </si>
  <si>
    <t>Resultado( Atingiu/Não atingiu)</t>
  </si>
  <si>
    <t>Maria</t>
  </si>
  <si>
    <t>João</t>
  </si>
  <si>
    <t>Câmera</t>
  </si>
  <si>
    <t>Ana</t>
  </si>
  <si>
    <t>Pedro</t>
  </si>
  <si>
    <t>Alarme</t>
  </si>
  <si>
    <t>Carlos</t>
  </si>
  <si>
    <t>Cerca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</si>
</sst>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/>
  </sheetViews>
  <sheetFormatPr defaultColWidth="14.42578125" defaultRowHeight="15" customHeight="1" x14ac:dyDescent="0.25"/>
  <cols>
    <col min="1" max="1" width="15.42578125" customWidth="1"/>
    <col min="2" max="2" width="9.140625" customWidth="1"/>
    <col min="3" max="3" width="12" customWidth="1"/>
    <col min="4" max="5" width="9.140625" customWidth="1"/>
    <col min="6" max="6" width="34.85546875" customWidth="1"/>
    <col min="7" max="7" width="42.5703125" customWidth="1"/>
    <col min="8" max="8" width="12.42578125" customWidth="1"/>
    <col min="9" max="11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500000008" bottom="0.78740157500000008" header="0" footer="0"/>
  <pageSetup orientation="landscape"/>
  <headerFooter>
    <oddFooter>&amp;R_x000D_#000000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abSelected="1" workbookViewId="0">
      <selection activeCell="D7" sqref="D7"/>
    </sheetView>
  </sheetViews>
  <sheetFormatPr defaultColWidth="14.42578125" defaultRowHeight="15" customHeight="1" x14ac:dyDescent="0.25"/>
  <cols>
    <col min="1" max="1" width="18.140625" customWidth="1"/>
    <col min="2" max="2" width="9.140625" customWidth="1"/>
    <col min="3" max="3" width="15.140625" customWidth="1"/>
    <col min="4" max="4" width="11.85546875" customWidth="1"/>
    <col min="5" max="5" width="14.140625" customWidth="1"/>
    <col min="6" max="6" width="16.28515625" customWidth="1"/>
    <col min="7" max="7" width="16" customWidth="1"/>
    <col min="8" max="8" width="11" customWidth="1"/>
    <col min="9" max="9" width="20" customWidth="1"/>
    <col min="10" max="10" width="43.140625" customWidth="1"/>
    <col min="11" max="11" width="8.7109375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s="1">
        <v>46027</v>
      </c>
      <c r="B2" s="2" t="s">
        <v>29</v>
      </c>
      <c r="C2" s="2" t="s">
        <v>31</v>
      </c>
      <c r="D2" s="2" t="s">
        <v>30</v>
      </c>
      <c r="E2" s="3">
        <v>1500</v>
      </c>
      <c r="F2" s="3">
        <v>900</v>
      </c>
      <c r="G2" s="3">
        <v>200</v>
      </c>
      <c r="H2" s="4">
        <f>E2-(F2+G2)</f>
        <v>400</v>
      </c>
    </row>
    <row r="3" spans="1:10" ht="15" customHeight="1" x14ac:dyDescent="0.25">
      <c r="A3" s="1">
        <v>46032</v>
      </c>
      <c r="B3" s="2" t="s">
        <v>32</v>
      </c>
      <c r="C3" s="2" t="s">
        <v>34</v>
      </c>
      <c r="D3" s="2" t="s">
        <v>33</v>
      </c>
      <c r="E3" s="3">
        <v>2200</v>
      </c>
      <c r="F3" s="3">
        <v>1400</v>
      </c>
      <c r="G3" s="3">
        <v>300</v>
      </c>
      <c r="H3" s="3">
        <v>300</v>
      </c>
    </row>
    <row r="4" spans="1:10" ht="15" customHeight="1" x14ac:dyDescent="0.25">
      <c r="A4" s="1">
        <v>46040</v>
      </c>
      <c r="B4" s="2" t="s">
        <v>35</v>
      </c>
      <c r="C4" s="2" t="s">
        <v>36</v>
      </c>
      <c r="D4" s="2" t="s">
        <v>30</v>
      </c>
      <c r="E4" s="3">
        <v>3200</v>
      </c>
      <c r="F4" s="3">
        <v>2000</v>
      </c>
      <c r="G4" s="3">
        <v>400</v>
      </c>
      <c r="H4" s="3">
        <v>400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500000008" bottom="0.78740157500000008" header="0" footer="0"/>
  <pageSetup orientation="landscape"/>
  <headerFooter>
    <oddFooter>&amp;R_x000D_#000000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/>
  </sheetViews>
  <sheetFormatPr defaultColWidth="14.42578125" defaultRowHeight="15" customHeight="1" x14ac:dyDescent="0.25"/>
  <cols>
    <col min="1" max="1" width="16" customWidth="1"/>
    <col min="2" max="2" width="9.140625" customWidth="1"/>
    <col min="3" max="3" width="38.42578125" customWidth="1"/>
    <col min="4" max="4" width="23" customWidth="1"/>
    <col min="5" max="5" width="20.42578125" customWidth="1"/>
    <col min="6" max="6" width="18.85546875" customWidth="1"/>
    <col min="7" max="7" width="20" customWidth="1"/>
    <col min="8" max="8" width="12.42578125" customWidth="1"/>
    <col min="9" max="11" width="8.7109375" customWidth="1"/>
  </cols>
  <sheetData>
    <row r="1" spans="1:8" x14ac:dyDescent="0.25">
      <c r="A1" t="s">
        <v>18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16</v>
      </c>
      <c r="H1" t="s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500000008" bottom="0.78740157500000008" header="0" footer="0"/>
  <pageSetup orientation="landscape"/>
  <headerFooter>
    <oddFooter>&amp;R_x000D_#000000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17.5703125" customWidth="1"/>
    <col min="3" max="3" width="18.140625" customWidth="1"/>
    <col min="4" max="4" width="12.5703125" customWidth="1"/>
    <col min="5" max="5" width="12.140625" customWidth="1"/>
    <col min="6" max="6" width="29.42578125" customWidth="1"/>
    <col min="7" max="7" width="12.42578125" customWidth="1"/>
    <col min="8" max="11" width="8.7109375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500000008" bottom="0.78740157500000008" header="0" footer="0"/>
  <pageSetup orientation="landscape"/>
  <headerFooter>
    <oddFooter>&amp;R_x000D_#000000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Pedido_Vendas</vt:lpstr>
      <vt:lpstr>Tecnicos_Parceiros</vt:lpstr>
      <vt:lpstr>Financeiro_Comercial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Elia Rodrigues - Unicred do Brasil</dc:creator>
  <cp:lastModifiedBy>Helen Elia Rodrigues - Unicred do Brasil</cp:lastModifiedBy>
  <dcterms:created xsi:type="dcterms:W3CDTF">2026-01-05T12:09:52Z</dcterms:created>
  <dcterms:modified xsi:type="dcterms:W3CDTF">2026-10-08T19:25:39Z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8419d4-b23f-4d52-aed1-d42f69e1cd65_Enabled">
    <vt:lpwstr>true</vt:lpwstr>
  </property>
  <property fmtid="{D5CDD505-2E9C-101B-9397-08002B2CF9AE}" pid="3" name="MSIP_Label_3e8419d4-b23f-4d52-aed1-d42f69e1cd65_SetDate">
    <vt:lpwstr>2026-01-14T12:03:28Z</vt:lpwstr>
  </property>
  <property fmtid="{D5CDD505-2E9C-101B-9397-08002B2CF9AE}" pid="4" name="MSIP_Label_3e8419d4-b23f-4d52-aed1-d42f69e1cd65_Method">
    <vt:lpwstr>Privileged</vt:lpwstr>
  </property>
  <property fmtid="{D5CDD505-2E9C-101B-9397-08002B2CF9AE}" pid="5" name="MSIP_Label_3e8419d4-b23f-4d52-aed1-d42f69e1cd65_Name">
    <vt:lpwstr>Pública</vt:lpwstr>
  </property>
  <property fmtid="{D5CDD505-2E9C-101B-9397-08002B2CF9AE}" pid="6" name="MSIP_Label_3e8419d4-b23f-4d52-aed1-d42f69e1cd65_SiteId">
    <vt:lpwstr>f88c7305-11d1-4b34-a8a0-da6536019e31</vt:lpwstr>
  </property>
  <property fmtid="{D5CDD505-2E9C-101B-9397-08002B2CF9AE}" pid="7" name="MSIP_Label_3e8419d4-b23f-4d52-aed1-d42f69e1cd65_ActionId">
    <vt:lpwstr>45cf3da6-39a2-4637-821a-41a1fc3a94af</vt:lpwstr>
  </property>
  <property fmtid="{D5CDD505-2E9C-101B-9397-08002B2CF9AE}" pid="8" name="MSIP_Label_3e8419d4-b23f-4d52-aed1-d42f69e1cd65_ContentBits">
    <vt:lpwstr>2</vt:lpwstr>
  </property>
  <property fmtid="{D5CDD505-2E9C-101B-9397-08002B2CF9AE}" pid="9" name="MSIP_Label_3e8419d4-b23f-4d52-aed1-d42f69e1cd65_Tag">
    <vt:lpwstr>10, 0, 1, 1</vt:lpwstr>
  </property>
</Properties>
</file>